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ouay\Desktop\lo\synthese\"/>
    </mc:Choice>
  </mc:AlternateContent>
  <xr:revisionPtr revIDLastSave="0" documentId="13_ncr:1_{5E396329-6265-4D77-8FCC-8803C798BD77}" xr6:coauthVersionLast="47" xr6:coauthVersionMax="47" xr10:uidLastSave="{00000000-0000-0000-0000-000000000000}"/>
  <bookViews>
    <workbookView xWindow="5070" yWindow="5070" windowWidth="28800" windowHeight="14205" xr2:uid="{00000000-000D-0000-FFFF-FFFF00000000}"/>
  </bookViews>
  <sheets>
    <sheet name="Matéri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F38" i="1"/>
  <c r="F37" i="1"/>
  <c r="F36" i="1"/>
  <c r="F34" i="1"/>
  <c r="F33" i="1"/>
  <c r="F31" i="1"/>
  <c r="F30" i="1"/>
  <c r="F29" i="1"/>
  <c r="F28" i="1"/>
  <c r="F27" i="1"/>
  <c r="F26" i="1"/>
  <c r="F25" i="1"/>
  <c r="F24" i="1"/>
  <c r="F23" i="1"/>
  <c r="F22" i="1"/>
  <c r="F21" i="1"/>
  <c r="F20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<sst xmlns="http://schemas.openxmlformats.org/spreadsheetml/2006/main" count="135" uniqueCount="73">
  <si>
    <t>Projet CampusTwin – matériel</t>
  </si>
  <si>
    <t>Louay Boubaya, Ariel Guarise--Preller, Noah Poire – BUT 3 GEII, groupe TP2 – prix TTC estimés</t>
  </si>
  <si>
    <t>Désignation</t>
  </si>
  <si>
    <t>Référence</t>
  </si>
  <si>
    <t>Fabricant</t>
  </si>
  <si>
    <t>Qté</t>
  </si>
  <si>
    <t>Prix unitaire (€)</t>
  </si>
  <si>
    <t>Total (€)</t>
  </si>
  <si>
    <t>Priorité</t>
  </si>
  <si>
    <t>Fiche</t>
  </si>
  <si>
    <t>Automatisme et maquette</t>
  </si>
  <si>
    <t>Automate SIMATIC S7-1200 CPU 1212C AC/DC/RLY</t>
  </si>
  <si>
    <t>6ES7212-1BE40-0XB0</t>
  </si>
  <si>
    <t>Siemens</t>
  </si>
  <si>
    <t>Si pas dispo à l'IUT</t>
  </si>
  <si>
    <t>lien</t>
  </si>
  <si>
    <t>Automate Modicon M221, 16 E/S relais, Ethernet</t>
  </si>
  <si>
    <t>TM221CE16R</t>
  </si>
  <si>
    <t>Schneider Electric</t>
  </si>
  <si>
    <t>Alternative</t>
  </si>
  <si>
    <t>Alimentation rail DIN 24 V, 1,5 A</t>
  </si>
  <si>
    <t>HDR-30-24</t>
  </si>
  <si>
    <t>Mean Well</t>
  </si>
  <si>
    <t>À commander</t>
  </si>
  <si>
    <t>Kit CO₂ d'aquarium : bouteille jetable, détendeur, électrovanne (24 V de préférence)</t>
  </si>
  <si>
    <t>Au choix (ex. FZONE)</t>
  </si>
  <si>
    <t>-</t>
  </si>
  <si>
    <t>Routeur 4 ports Ethernet + Wi-Fi</t>
  </si>
  <si>
    <t>Archer C6 (ou équivalent)</t>
  </si>
  <si>
    <t>TP-Link</t>
  </si>
  <si>
    <t>Câble RJ45 cat. 6, 1 m</t>
  </si>
  <si>
    <t>Boîte transparente étanche ~60 L (maquette de salle) avec trappe « fenêtre »</t>
  </si>
  <si>
    <t>Stock IUT</t>
  </si>
  <si>
    <t>Micro-interrupteur fin de course (trappe « fenêtre »)</t>
  </si>
  <si>
    <t>Ventilateur 24 V DC, 80 mm</t>
  </si>
  <si>
    <t>Voyant LED 22 mm, 24 V</t>
  </si>
  <si>
    <t>Commutateur 2 positions Manu/Auto, 22 mm</t>
  </si>
  <si>
    <t>Bouton d'arrêt d'urgence, 22 mm</t>
  </si>
  <si>
    <t>Rail DIN 35 mm + borniers</t>
  </si>
  <si>
    <t>Capteurs</t>
  </si>
  <si>
    <t>Carte XIAO ESP32S3 (salle et porte)</t>
  </si>
  <si>
    <t>113991114</t>
  </si>
  <si>
    <t>Seeed Studio</t>
  </si>
  <si>
    <t>Capteur CO₂ / température / humidité SCD-41</t>
  </si>
  <si>
    <t>5190</t>
  </si>
  <si>
    <t>Adafruit</t>
  </si>
  <si>
    <t>Caméra thermique MLX90640 32×24, 110°</t>
  </si>
  <si>
    <t>4469</t>
  </si>
  <si>
    <t>Capteur temps de vol multizone VL53L5CX (Qwiic ToF Imager)</t>
  </si>
  <si>
    <t>SEN-18642</t>
  </si>
  <si>
    <t>SparkFun</t>
  </si>
  <si>
    <t>Radar 24 GHz de suivi de personnes</t>
  </si>
  <si>
    <t>HLK-LD2450</t>
  </si>
  <si>
    <t>Hi-Link</t>
  </si>
  <si>
    <t>Câble STEMMA QT / Qwiic 4 broches</t>
  </si>
  <si>
    <t>Module AHT20 + BMP280</t>
  </si>
  <si>
    <t>Déjà dispo</t>
  </si>
  <si>
    <t>Plaque d'essai + fils Dupont</t>
  </si>
  <si>
    <t>Lecteur NFC PN532 V3 (badges)</t>
  </si>
  <si>
    <t>PN532 NFC RFID Module V3</t>
  </si>
  <si>
    <t>Elechouse</t>
  </si>
  <si>
    <t>Écran e-Paper 2,9 pouces, noir et blanc</t>
  </si>
  <si>
    <t>2.9inch e-Paper Module</t>
  </si>
  <si>
    <t>Waveshare</t>
  </si>
  <si>
    <t>Carte XIAO ESP32S3 (essai de détection par Wi-Fi)</t>
  </si>
  <si>
    <t>Option</t>
  </si>
  <si>
    <t>2e capteur CO₂ SCD-41 (air extérieur, vérification du 1er)</t>
  </si>
  <si>
    <t>Serveur (une seule machine)</t>
  </si>
  <si>
    <t>Raspberry Pi 5, 4 Go : seulement si l'IUT n'a pas de Raspberry Pi 3B+/4 ou de vieux PC à nous prêter</t>
  </si>
  <si>
    <t>SC1111</t>
  </si>
  <si>
    <t>Raspberry Pi</t>
  </si>
  <si>
    <t>Accessoires du Raspberry Pi 5 : alimentation 27 W USB-C, carte microSD 64 Go, ventilateur</t>
  </si>
  <si>
    <t>Stock IUT (si à acheter)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</si>
</sst>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4"/>
      <color rgb="FF12324F"/>
      <name val="Arial"/>
    </font>
    <font>
      <sz val="10"/>
      <color rgb="FF4A5260"/>
      <name val="Arial"/>
    </font>
    <font>
      <b/>
      <sz val="10"/>
      <color rgb="FF12324F"/>
      <name val="Arial"/>
    </font>
    <font>
      <sz val="10"/>
      <name val="Arial"/>
    </font>
    <font>
      <u/>
      <sz val="10"/>
      <color rgb="FF1F5FAE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3CCD7"/>
      </left>
      <right style="thin">
        <color rgb="FFC3CCD7"/>
      </right>
      <top style="thin">
        <color rgb="FFC3CCD7"/>
      </top>
      <bottom style="thin">
        <color rgb="FFC3CCD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0" fillId="3" borderId="1" xfId="0" applyFill="1" applyBorder="1"/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6" fillId="0" borderId="1" xfId="0" applyNumberFormat="1" applyFont="1" applyBorder="1"/>
    <xf numFmtId="0" fontId="6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esphome.io/components/sensor/ld2450" TargetMode="External"/><Relationship Id="rId3" Type="http://schemas.openxmlformats.org/officeDocument/2006/relationships/hyperlink" Target="https://www.rapidonline.com/mean-well-hdr-30-24-30w-ultra-slim-din-rail-psu-85-5697" TargetMode="External"/><Relationship Id="rId7" Type="http://schemas.openxmlformats.org/officeDocument/2006/relationships/hyperlink" Target="https://www.sparkfun.com/sparkfun-qwiic-tof-imager-vl53l5cx.html" TargetMode="External"/><Relationship Id="rId2" Type="http://schemas.openxmlformats.org/officeDocument/2006/relationships/hyperlink" Target="https://www.voltimum.co.uk/product-details/3JoEUIma/schneider-electric/controller-m221-16-io-relay-ethernet" TargetMode="External"/><Relationship Id="rId1" Type="http://schemas.openxmlformats.org/officeDocument/2006/relationships/hyperlink" Target="https://www.all4sps.com/mediafiles/Sonstiges/6ES7212-1BE40-0XB0.pdf" TargetMode="External"/><Relationship Id="rId6" Type="http://schemas.openxmlformats.org/officeDocument/2006/relationships/hyperlink" Target="https://www.adafruit.com/product/4469" TargetMode="External"/><Relationship Id="rId5" Type="http://schemas.openxmlformats.org/officeDocument/2006/relationships/hyperlink" Target="https://www.adafruit.com/product/5190" TargetMode="External"/><Relationship Id="rId10" Type="http://schemas.openxmlformats.org/officeDocument/2006/relationships/hyperlink" Target="https://www.adafruit.com/product/5190" TargetMode="External"/><Relationship Id="rId4" Type="http://schemas.openxmlformats.org/officeDocument/2006/relationships/hyperlink" Target="https://core-electronics.com.au/seeed-studio-xiao-esp32s3.html" TargetMode="External"/><Relationship Id="rId9" Type="http://schemas.openxmlformats.org/officeDocument/2006/relationships/hyperlink" Target="https://core-electronics.com.au/seeed-studio-xiao-esp32s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52" customWidth="1"/>
    <col min="2" max="2" width="26" customWidth="1"/>
    <col min="3" max="3" width="18" customWidth="1"/>
    <col min="4" max="4" width="6" customWidth="1"/>
    <col min="5" max="5" width="15" customWidth="1"/>
    <col min="6" max="6" width="12" customWidth="1"/>
    <col min="7" max="7" width="20" customWidth="1"/>
    <col min="8" max="8" width="7" customWidth="1"/>
  </cols>
  <sheetData>
    <row r="1" spans="1:8" ht="18" x14ac:dyDescent="0.25">
      <c r="A1" s="1" t="s">
        <v>0</v>
      </c>
    </row>
    <row r="2" spans="1:8" x14ac:dyDescent="0.25">
      <c r="A2" s="2" t="s">
        <v>1</v>
      </c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5"/>
      <c r="C5" s="5"/>
      <c r="D5" s="5"/>
      <c r="E5" s="5"/>
      <c r="F5" s="5"/>
      <c r="G5" s="5"/>
      <c r="H5" s="5"/>
    </row>
    <row r="6" spans="1:8" x14ac:dyDescent="0.25">
      <c r="A6" s="6" t="s">
        <v>11</v>
      </c>
      <c r="B6" s="6" t="s">
        <v>12</v>
      </c>
      <c r="C6" s="6" t="s">
        <v>13</v>
      </c>
      <c r="D6" s="6">
        <v>1</v>
      </c>
      <c r="E6" s="7">
        <v>450</v>
      </c>
      <c r="F6" s="7">
        <f t="shared" ref="F6:F18" si="0">D6*E6</f>
        <v>450</v>
      </c>
      <c r="G6" s="6" t="s">
        <v>14</v>
      </c>
      <c r="H6" s="8" t="s">
        <v>15</v>
      </c>
    </row>
    <row r="7" spans="1:8" x14ac:dyDescent="0.25">
      <c r="A7" s="6" t="s">
        <v>16</v>
      </c>
      <c r="B7" s="6" t="s">
        <v>17</v>
      </c>
      <c r="C7" s="6" t="s">
        <v>18</v>
      </c>
      <c r="D7" s="6">
        <v>0</v>
      </c>
      <c r="E7" s="7">
        <v>350</v>
      </c>
      <c r="F7" s="7">
        <f t="shared" si="0"/>
        <v>0</v>
      </c>
      <c r="G7" s="6" t="s">
        <v>19</v>
      </c>
      <c r="H7" s="8" t="s">
        <v>15</v>
      </c>
    </row>
    <row r="8" spans="1:8" x14ac:dyDescent="0.25">
      <c r="A8" s="6" t="s">
        <v>20</v>
      </c>
      <c r="B8" s="6" t="s">
        <v>21</v>
      </c>
      <c r="C8" s="6" t="s">
        <v>22</v>
      </c>
      <c r="D8" s="6">
        <v>1</v>
      </c>
      <c r="E8" s="7">
        <v>20</v>
      </c>
      <c r="F8" s="7">
        <f t="shared" si="0"/>
        <v>20</v>
      </c>
      <c r="G8" s="6" t="s">
        <v>23</v>
      </c>
      <c r="H8" s="8" t="s">
        <v>15</v>
      </c>
    </row>
    <row r="9" spans="1:8" ht="25.5" x14ac:dyDescent="0.25">
      <c r="A9" s="6" t="s">
        <v>24</v>
      </c>
      <c r="B9" s="6" t="s">
        <v>25</v>
      </c>
      <c r="C9" s="6" t="s">
        <v>26</v>
      </c>
      <c r="D9" s="6">
        <v>1</v>
      </c>
      <c r="E9" s="7">
        <v>90</v>
      </c>
      <c r="F9" s="7">
        <f t="shared" si="0"/>
        <v>90</v>
      </c>
      <c r="G9" s="6" t="s">
        <v>23</v>
      </c>
      <c r="H9" s="6"/>
    </row>
    <row r="10" spans="1:8" x14ac:dyDescent="0.25">
      <c r="A10" s="6" t="s">
        <v>27</v>
      </c>
      <c r="B10" s="6" t="s">
        <v>28</v>
      </c>
      <c r="C10" s="6" t="s">
        <v>29</v>
      </c>
      <c r="D10" s="6">
        <v>1</v>
      </c>
      <c r="E10" s="7">
        <v>30</v>
      </c>
      <c r="F10" s="7">
        <f t="shared" si="0"/>
        <v>30</v>
      </c>
      <c r="G10" s="6" t="s">
        <v>23</v>
      </c>
      <c r="H10" s="6"/>
    </row>
    <row r="11" spans="1:8" x14ac:dyDescent="0.25">
      <c r="A11" s="6" t="s">
        <v>30</v>
      </c>
      <c r="B11" s="6" t="s">
        <v>26</v>
      </c>
      <c r="C11" s="6" t="s">
        <v>26</v>
      </c>
      <c r="D11" s="6">
        <v>3</v>
      </c>
      <c r="E11" s="7">
        <v>3</v>
      </c>
      <c r="F11" s="7">
        <f t="shared" si="0"/>
        <v>9</v>
      </c>
      <c r="G11" s="6" t="s">
        <v>23</v>
      </c>
      <c r="H11" s="6"/>
    </row>
    <row r="12" spans="1:8" ht="25.5" x14ac:dyDescent="0.25">
      <c r="A12" s="6" t="s">
        <v>31</v>
      </c>
      <c r="B12" s="6" t="s">
        <v>26</v>
      </c>
      <c r="C12" s="6" t="s">
        <v>26</v>
      </c>
      <c r="D12" s="6">
        <v>1</v>
      </c>
      <c r="E12" s="7">
        <v>15</v>
      </c>
      <c r="F12" s="7">
        <f t="shared" si="0"/>
        <v>15</v>
      </c>
      <c r="G12" s="6" t="s">
        <v>32</v>
      </c>
      <c r="H12" s="6"/>
    </row>
    <row r="13" spans="1:8" x14ac:dyDescent="0.25">
      <c r="A13" s="6" t="s">
        <v>33</v>
      </c>
      <c r="B13" s="6" t="s">
        <v>26</v>
      </c>
      <c r="C13" s="6" t="s">
        <v>26</v>
      </c>
      <c r="D13" s="6">
        <v>1</v>
      </c>
      <c r="E13" s="7">
        <v>3</v>
      </c>
      <c r="F13" s="7">
        <f t="shared" si="0"/>
        <v>3</v>
      </c>
      <c r="G13" s="6" t="s">
        <v>32</v>
      </c>
      <c r="H13" s="6"/>
    </row>
    <row r="14" spans="1:8" x14ac:dyDescent="0.25">
      <c r="A14" s="6" t="s">
        <v>34</v>
      </c>
      <c r="B14" s="6" t="s">
        <v>26</v>
      </c>
      <c r="C14" s="6" t="s">
        <v>26</v>
      </c>
      <c r="D14" s="6">
        <v>1</v>
      </c>
      <c r="E14" s="7">
        <v>10</v>
      </c>
      <c r="F14" s="7">
        <f t="shared" si="0"/>
        <v>10</v>
      </c>
      <c r="G14" s="6" t="s">
        <v>32</v>
      </c>
      <c r="H14" s="6"/>
    </row>
    <row r="15" spans="1:8" x14ac:dyDescent="0.25">
      <c r="A15" s="6" t="s">
        <v>35</v>
      </c>
      <c r="B15" s="6" t="s">
        <v>26</v>
      </c>
      <c r="C15" s="6" t="s">
        <v>26</v>
      </c>
      <c r="D15" s="6">
        <v>2</v>
      </c>
      <c r="E15" s="7">
        <v>5</v>
      </c>
      <c r="F15" s="7">
        <f t="shared" si="0"/>
        <v>10</v>
      </c>
      <c r="G15" s="6" t="s">
        <v>32</v>
      </c>
      <c r="H15" s="6"/>
    </row>
    <row r="16" spans="1:8" x14ac:dyDescent="0.25">
      <c r="A16" s="6" t="s">
        <v>36</v>
      </c>
      <c r="B16" s="6" t="s">
        <v>26</v>
      </c>
      <c r="C16" s="6" t="s">
        <v>26</v>
      </c>
      <c r="D16" s="6">
        <v>1</v>
      </c>
      <c r="E16" s="7">
        <v>10</v>
      </c>
      <c r="F16" s="7">
        <f t="shared" si="0"/>
        <v>10</v>
      </c>
      <c r="G16" s="6" t="s">
        <v>32</v>
      </c>
      <c r="H16" s="6"/>
    </row>
    <row r="17" spans="1:8" x14ac:dyDescent="0.25">
      <c r="A17" s="6" t="s">
        <v>37</v>
      </c>
      <c r="B17" s="6" t="s">
        <v>26</v>
      </c>
      <c r="C17" s="6" t="s">
        <v>26</v>
      </c>
      <c r="D17" s="6">
        <v>1</v>
      </c>
      <c r="E17" s="7">
        <v>15</v>
      </c>
      <c r="F17" s="7">
        <f t="shared" si="0"/>
        <v>15</v>
      </c>
      <c r="G17" s="6" t="s">
        <v>32</v>
      </c>
      <c r="H17" s="6"/>
    </row>
    <row r="18" spans="1:8" x14ac:dyDescent="0.25">
      <c r="A18" s="6" t="s">
        <v>38</v>
      </c>
      <c r="B18" s="6" t="s">
        <v>26</v>
      </c>
      <c r="C18" s="6" t="s">
        <v>26</v>
      </c>
      <c r="D18" s="6">
        <v>1</v>
      </c>
      <c r="E18" s="7">
        <v>15</v>
      </c>
      <c r="F18" s="7">
        <f t="shared" si="0"/>
        <v>15</v>
      </c>
      <c r="G18" s="6" t="s">
        <v>32</v>
      </c>
      <c r="H18" s="6"/>
    </row>
    <row r="19" spans="1:8" x14ac:dyDescent="0.25">
      <c r="A19" s="4" t="s">
        <v>39</v>
      </c>
      <c r="B19" s="5"/>
      <c r="C19" s="5"/>
      <c r="D19" s="5"/>
      <c r="E19" s="5"/>
      <c r="F19" s="5"/>
      <c r="G19" s="5"/>
      <c r="H19" s="5"/>
    </row>
    <row r="20" spans="1:8" x14ac:dyDescent="0.25">
      <c r="A20" s="6" t="s">
        <v>40</v>
      </c>
      <c r="B20" s="6" t="s">
        <v>41</v>
      </c>
      <c r="C20" s="6" t="s">
        <v>42</v>
      </c>
      <c r="D20" s="6">
        <v>2</v>
      </c>
      <c r="E20" s="7">
        <v>9</v>
      </c>
      <c r="F20" s="7">
        <f t="shared" ref="F20:F31" si="1">D20*E20</f>
        <v>18</v>
      </c>
      <c r="G20" s="6" t="s">
        <v>23</v>
      </c>
      <c r="H20" s="8" t="s">
        <v>15</v>
      </c>
    </row>
    <row r="21" spans="1:8" x14ac:dyDescent="0.25">
      <c r="A21" s="6" t="s">
        <v>43</v>
      </c>
      <c r="B21" s="6" t="s">
        <v>44</v>
      </c>
      <c r="C21" s="6" t="s">
        <v>45</v>
      </c>
      <c r="D21" s="6">
        <v>1</v>
      </c>
      <c r="E21" s="7">
        <v>60</v>
      </c>
      <c r="F21" s="7">
        <f t="shared" si="1"/>
        <v>60</v>
      </c>
      <c r="G21" s="6" t="s">
        <v>23</v>
      </c>
      <c r="H21" s="8" t="s">
        <v>15</v>
      </c>
    </row>
    <row r="22" spans="1:8" x14ac:dyDescent="0.25">
      <c r="A22" s="6" t="s">
        <v>46</v>
      </c>
      <c r="B22" s="6" t="s">
        <v>47</v>
      </c>
      <c r="C22" s="6" t="s">
        <v>45</v>
      </c>
      <c r="D22" s="6">
        <v>1</v>
      </c>
      <c r="E22" s="7">
        <v>85</v>
      </c>
      <c r="F22" s="7">
        <f t="shared" si="1"/>
        <v>85</v>
      </c>
      <c r="G22" s="6" t="s">
        <v>23</v>
      </c>
      <c r="H22" s="8" t="s">
        <v>15</v>
      </c>
    </row>
    <row r="23" spans="1:8" ht="25.5" x14ac:dyDescent="0.25">
      <c r="A23" s="6" t="s">
        <v>48</v>
      </c>
      <c r="B23" s="6" t="s">
        <v>49</v>
      </c>
      <c r="C23" s="6" t="s">
        <v>50</v>
      </c>
      <c r="D23" s="6">
        <v>1</v>
      </c>
      <c r="E23" s="7">
        <v>35</v>
      </c>
      <c r="F23" s="7">
        <f t="shared" si="1"/>
        <v>35</v>
      </c>
      <c r="G23" s="6" t="s">
        <v>23</v>
      </c>
      <c r="H23" s="8" t="s">
        <v>15</v>
      </c>
    </row>
    <row r="24" spans="1:8" x14ac:dyDescent="0.25">
      <c r="A24" s="6" t="s">
        <v>51</v>
      </c>
      <c r="B24" s="6" t="s">
        <v>52</v>
      </c>
      <c r="C24" s="6" t="s">
        <v>53</v>
      </c>
      <c r="D24" s="6">
        <v>1</v>
      </c>
      <c r="E24" s="7">
        <v>10</v>
      </c>
      <c r="F24" s="7">
        <f t="shared" si="1"/>
        <v>10</v>
      </c>
      <c r="G24" s="6" t="s">
        <v>23</v>
      </c>
      <c r="H24" s="8" t="s">
        <v>15</v>
      </c>
    </row>
    <row r="25" spans="1:8" x14ac:dyDescent="0.25">
      <c r="A25" s="6" t="s">
        <v>54</v>
      </c>
      <c r="B25" s="6" t="s">
        <v>26</v>
      </c>
      <c r="C25" s="6" t="s">
        <v>45</v>
      </c>
      <c r="D25" s="6">
        <v>4</v>
      </c>
      <c r="E25" s="7">
        <v>1.5</v>
      </c>
      <c r="F25" s="7">
        <f t="shared" si="1"/>
        <v>6</v>
      </c>
      <c r="G25" s="6" t="s">
        <v>23</v>
      </c>
      <c r="H25" s="6"/>
    </row>
    <row r="26" spans="1:8" x14ac:dyDescent="0.25">
      <c r="A26" s="6" t="s">
        <v>55</v>
      </c>
      <c r="B26" s="6" t="s">
        <v>26</v>
      </c>
      <c r="C26" s="6" t="s">
        <v>26</v>
      </c>
      <c r="D26" s="6">
        <v>1</v>
      </c>
      <c r="E26" s="7">
        <v>0</v>
      </c>
      <c r="F26" s="7">
        <f t="shared" si="1"/>
        <v>0</v>
      </c>
      <c r="G26" s="6" t="s">
        <v>56</v>
      </c>
      <c r="H26" s="6"/>
    </row>
    <row r="27" spans="1:8" x14ac:dyDescent="0.25">
      <c r="A27" s="6" t="s">
        <v>57</v>
      </c>
      <c r="B27" s="6" t="s">
        <v>26</v>
      </c>
      <c r="C27" s="6" t="s">
        <v>26</v>
      </c>
      <c r="D27" s="6">
        <v>1</v>
      </c>
      <c r="E27" s="7">
        <v>10</v>
      </c>
      <c r="F27" s="7">
        <f t="shared" si="1"/>
        <v>10</v>
      </c>
      <c r="G27" s="6" t="s">
        <v>32</v>
      </c>
      <c r="H27" s="6"/>
    </row>
    <row r="28" spans="1:8" x14ac:dyDescent="0.25">
      <c r="A28" s="6" t="s">
        <v>58</v>
      </c>
      <c r="B28" s="6" t="s">
        <v>59</v>
      </c>
      <c r="C28" s="6" t="s">
        <v>60</v>
      </c>
      <c r="D28" s="6">
        <v>1</v>
      </c>
      <c r="E28" s="7">
        <v>12</v>
      </c>
      <c r="F28" s="7">
        <f t="shared" si="1"/>
        <v>12</v>
      </c>
      <c r="G28" s="6" t="s">
        <v>23</v>
      </c>
      <c r="H28" s="6"/>
    </row>
    <row r="29" spans="1:8" x14ac:dyDescent="0.25">
      <c r="A29" s="6" t="s">
        <v>61</v>
      </c>
      <c r="B29" s="6" t="s">
        <v>62</v>
      </c>
      <c r="C29" s="6" t="s">
        <v>63</v>
      </c>
      <c r="D29" s="6">
        <v>1</v>
      </c>
      <c r="E29" s="7">
        <v>22</v>
      </c>
      <c r="F29" s="7">
        <f t="shared" si="1"/>
        <v>22</v>
      </c>
      <c r="G29" s="6" t="s">
        <v>23</v>
      </c>
      <c r="H29" s="6"/>
    </row>
    <row r="30" spans="1:8" x14ac:dyDescent="0.25">
      <c r="A30" s="6" t="s">
        <v>64</v>
      </c>
      <c r="B30" s="6" t="s">
        <v>41</v>
      </c>
      <c r="C30" s="6" t="s">
        <v>42</v>
      </c>
      <c r="D30" s="6">
        <v>2</v>
      </c>
      <c r="E30" s="7">
        <v>9</v>
      </c>
      <c r="F30" s="7">
        <f t="shared" si="1"/>
        <v>18</v>
      </c>
      <c r="G30" s="6" t="s">
        <v>65</v>
      </c>
      <c r="H30" s="8" t="s">
        <v>15</v>
      </c>
    </row>
    <row r="31" spans="1:8" x14ac:dyDescent="0.25">
      <c r="A31" s="6" t="s">
        <v>66</v>
      </c>
      <c r="B31" s="6" t="s">
        <v>44</v>
      </c>
      <c r="C31" s="6" t="s">
        <v>45</v>
      </c>
      <c r="D31" s="6">
        <v>1</v>
      </c>
      <c r="E31" s="7">
        <v>60</v>
      </c>
      <c r="F31" s="7">
        <f t="shared" si="1"/>
        <v>60</v>
      </c>
      <c r="G31" s="6" t="s">
        <v>65</v>
      </c>
      <c r="H31" s="8" t="s">
        <v>15</v>
      </c>
    </row>
    <row r="32" spans="1:8" x14ac:dyDescent="0.25">
      <c r="A32" s="4" t="s">
        <v>67</v>
      </c>
      <c r="B32" s="5"/>
      <c r="C32" s="5"/>
      <c r="D32" s="5"/>
      <c r="E32" s="5"/>
      <c r="F32" s="5"/>
      <c r="G32" s="5"/>
      <c r="H32" s="5"/>
    </row>
    <row r="33" spans="1:8" ht="25.5" x14ac:dyDescent="0.25">
      <c r="A33" s="6" t="s">
        <v>68</v>
      </c>
      <c r="B33" s="6" t="s">
        <v>69</v>
      </c>
      <c r="C33" s="6" t="s">
        <v>70</v>
      </c>
      <c r="D33" s="6">
        <v>1</v>
      </c>
      <c r="E33" s="7">
        <v>95</v>
      </c>
      <c r="F33" s="7">
        <f>D33*E33</f>
        <v>95</v>
      </c>
      <c r="G33" s="6" t="s">
        <v>14</v>
      </c>
      <c r="H33" s="6"/>
    </row>
    <row r="34" spans="1:8" ht="25.5" x14ac:dyDescent="0.25">
      <c r="A34" s="6" t="s">
        <v>71</v>
      </c>
      <c r="B34" s="6" t="s">
        <v>26</v>
      </c>
      <c r="C34" s="6" t="s">
        <v>70</v>
      </c>
      <c r="D34" s="6">
        <v>1</v>
      </c>
      <c r="E34" s="7">
        <v>33</v>
      </c>
      <c r="F34" s="7">
        <f>D34*E34</f>
        <v>33</v>
      </c>
      <c r="G34" s="6" t="s">
        <v>14</v>
      </c>
      <c r="H34" s="6"/>
    </row>
    <row r="36" spans="1:8" x14ac:dyDescent="0.25">
      <c r="D36" s="10" t="s">
        <v>23</v>
      </c>
      <c r="E36" s="11"/>
      <c r="F36" s="9">
        <f>SUMIF(G6:G34,"À commander",F6:F34)</f>
        <v>397</v>
      </c>
    </row>
    <row r="37" spans="1:8" x14ac:dyDescent="0.25">
      <c r="D37" s="10" t="s">
        <v>72</v>
      </c>
      <c r="E37" s="11"/>
      <c r="F37" s="9">
        <f>SUMIF(G6:G34,"Stock IUT",F6:F34)</f>
        <v>88</v>
      </c>
    </row>
    <row r="38" spans="1:8" x14ac:dyDescent="0.25">
      <c r="D38" s="10" t="s">
        <v>14</v>
      </c>
      <c r="E38" s="11"/>
      <c r="F38" s="9">
        <f>SUMIF(G6:G34,"Si pas dispo à l'IUT",F6:F34)</f>
        <v>578</v>
      </c>
    </row>
    <row r="39" spans="1:8" x14ac:dyDescent="0.25">
      <c r="D39" s="10" t="s">
        <v>65</v>
      </c>
      <c r="E39" s="11"/>
      <c r="F39" s="9">
        <f>SUMIF(G6:G34,"Option",F6:F34)</f>
        <v>78</v>
      </c>
    </row>
  </sheetData>
  <mergeCells count="4">
    <mergeCell ref="D36:E36"/>
    <mergeCell ref="D39:E39"/>
    <mergeCell ref="D38:E38"/>
    <mergeCell ref="D37:E37"/>
  </mergeCells>
  <dataValidations count="1">
    <dataValidation type="list" sqref="G6:G34" xr:uid="{00000000-0002-0000-0000-000000000000}">
      <formula1>"À commander,Stock IUT,Si pas dispo à l'IUT,Option,Alternative,Déjà dispo"</formula1>
    </dataValidation>
  </dataValidations>
  <hyperlinks>
    <hyperlink ref="H6" r:id="rId1" xr:uid="{00000000-0004-0000-0000-000000000000}"/>
    <hyperlink ref="H7" r:id="rId2" xr:uid="{00000000-0004-0000-0000-000001000000}"/>
    <hyperlink ref="H8" r:id="rId3" xr:uid="{00000000-0004-0000-0000-000002000000}"/>
    <hyperlink ref="H20" r:id="rId4" xr:uid="{00000000-0004-0000-0000-000003000000}"/>
    <hyperlink ref="H21" r:id="rId5" xr:uid="{00000000-0004-0000-0000-000004000000}"/>
    <hyperlink ref="H22" r:id="rId6" xr:uid="{00000000-0004-0000-0000-000005000000}"/>
    <hyperlink ref="H23" r:id="rId7" xr:uid="{00000000-0004-0000-0000-000006000000}"/>
    <hyperlink ref="H24" r:id="rId8" xr:uid="{00000000-0004-0000-0000-000007000000}"/>
    <hyperlink ref="H30" r:id="rId9" xr:uid="{00000000-0004-0000-0000-000008000000}"/>
    <hyperlink ref="H31" r:id="rId10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Matériel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Louay Boubaya</cp:lastModifiedBy>
  <dcterms:created xsi:type="dcterms:W3CDTF">2026-10-16T06:43:13Z</dcterms:created>
  <dcterms:modified xsi:type="dcterms:W3CDTF">2026-10-16T06:43:21Z</dcterms:modified>
</cp:coreProperties>
</file>