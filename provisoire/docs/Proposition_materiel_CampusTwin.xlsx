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070" yWindow="5070" windowWidth="28800" windowHeight="14205" tabRatio="600" firstSheet="0" activeTab="0" autoFilterDateGrouping="1"/>
  </bookViews>
  <sheets>
    <sheet xmlns:r="http://schemas.openxmlformats.org/officeDocument/2006/relationships" name="Matéri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7">
    <font>
      <name val="Calibri"/>
      <family val="2"/>
      <color theme="1"/>
      <sz val="11"/>
      <scheme val="minor"/>
    </font>
    <font>
      <name val="Arial"/>
      <b val="1"/>
      <color rgb="FF12324F"/>
      <sz val="14"/>
    </font>
    <font>
      <name val="Arial"/>
      <color rgb="FF4A5260"/>
      <sz val="10"/>
    </font>
    <font>
      <name val="Arial"/>
      <b val="1"/>
      <color rgb="FF12324F"/>
      <sz val="10"/>
    </font>
    <font>
      <name val="Arial"/>
      <sz val="10"/>
    </font>
    <font>
      <name val="Arial"/>
      <color rgb="FF1F5FAE"/>
      <sz val="10"/>
      <u val="single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E8EEF5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C3CCD7"/>
      </left>
      <right style="thin">
        <color rgb="FFC3CCD7"/>
      </right>
      <top style="thin">
        <color rgb="FFC3CCD7"/>
      </top>
      <bottom style="thin">
        <color rgb="FFC3CCD7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3" fillId="3" borderId="1" pivotButton="0" quotePrefix="0" xfId="0"/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6" fillId="0" borderId="1" pivotButton="0" quotePrefix="0" xfId="0"/>
    <xf numFmtId="0" fontId="6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ll4sps.com/mediafiles/Sonstiges/6ES7212-1BE40-0XB0.pdf" TargetMode="External" Id="rId1"/><Relationship Type="http://schemas.openxmlformats.org/officeDocument/2006/relationships/hyperlink" Target="https://www.voltimum.co.uk/product-details/3JoEUIma/schneider-electric/controller-m221-16-io-relay-ethernet" TargetMode="External" Id="rId2"/><Relationship Type="http://schemas.openxmlformats.org/officeDocument/2006/relationships/hyperlink" Target="https://www.rapidonline.com/mean-well-hdr-30-24-30w-ultra-slim-din-rail-psu-85-5697" TargetMode="External" Id="rId3"/><Relationship Type="http://schemas.openxmlformats.org/officeDocument/2006/relationships/hyperlink" Target="https://core-electronics.com.au/seeed-studio-xiao-esp32s3.html" TargetMode="External" Id="rId4"/><Relationship Type="http://schemas.openxmlformats.org/officeDocument/2006/relationships/hyperlink" Target="https://www.adafruit.com/product/5190" TargetMode="External" Id="rId5"/><Relationship Type="http://schemas.openxmlformats.org/officeDocument/2006/relationships/hyperlink" Target="https://www.adafruit.com/product/4469" TargetMode="External" Id="rId6"/><Relationship Type="http://schemas.openxmlformats.org/officeDocument/2006/relationships/hyperlink" Target="https://www.sparkfun.com/sparkfun-qwiic-tof-imager-vl53l5cx.html" TargetMode="External" Id="rId7"/><Relationship Type="http://schemas.openxmlformats.org/officeDocument/2006/relationships/hyperlink" Target="https://new.esphome.io/components/sensor/ld2450" TargetMode="External" Id="rId8"/><Relationship Type="http://schemas.openxmlformats.org/officeDocument/2006/relationships/hyperlink" Target="https://core-electronics.com.au/seeed-studio-xiao-esp32s3.html" TargetMode="External" Id="rId9"/><Relationship Type="http://schemas.openxmlformats.org/officeDocument/2006/relationships/hyperlink" Target="https://www.adafruit.com/product/5190" TargetMode="External" Id="rId10"/><Relationship Type="http://schemas.openxmlformats.org/officeDocument/2006/relationships/hyperlink" Target="https://core-electronics.com.au/seeed-studio-xiao-esp32s3.html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tabSelected="1" workbookViewId="0">
      <pane ySplit="4" topLeftCell="A5" activePane="bottomLeft" state="frozen"/>
      <selection pane="bottomLeft" activeCell="A1" sqref="A1"/>
    </sheetView>
  </sheetViews>
  <sheetFormatPr baseColWidth="10" defaultColWidth="9.140625" defaultRowHeight="15"/>
  <cols>
    <col width="52" customWidth="1" style="11" min="1" max="1"/>
    <col width="26" customWidth="1" style="11" min="2" max="2"/>
    <col width="18" customWidth="1" style="11" min="3" max="3"/>
    <col width="6" customWidth="1" style="11" min="4" max="4"/>
    <col width="15" customWidth="1" style="11" min="5" max="5"/>
    <col width="12" customWidth="1" style="11" min="6" max="6"/>
    <col width="20" customWidth="1" style="11" min="7" max="7"/>
    <col width="7" customWidth="1" style="11" min="8" max="8"/>
  </cols>
  <sheetData>
    <row r="1" ht="18" customHeight="1" s="11">
      <c r="A1" s="1" t="inlineStr">
        <is>
          <t>Projet CampusTwin – matériel</t>
        </is>
      </c>
    </row>
    <row r="2">
      <c r="A2" s="2" t="inlineStr">
        <is>
          <t>Louay Boubaya, Ariel Guarise--Preller, Noah Poire – BUT 3 GEII, groupe TP2 – prix TTC estimés</t>
        </is>
      </c>
    </row>
    <row r="4">
      <c r="A4" s="3" t="inlineStr">
        <is>
          <t>Désignation</t>
        </is>
      </c>
      <c r="B4" s="3" t="inlineStr">
        <is>
          <t>Référence</t>
        </is>
      </c>
      <c r="C4" s="3" t="inlineStr">
        <is>
          <t>Fabricant</t>
        </is>
      </c>
      <c r="D4" s="3" t="inlineStr">
        <is>
          <t>Qté</t>
        </is>
      </c>
      <c r="E4" s="3" t="inlineStr">
        <is>
          <t>Prix unitaire (€)</t>
        </is>
      </c>
      <c r="F4" s="3" t="inlineStr">
        <is>
          <t>Total (€)</t>
        </is>
      </c>
      <c r="G4" s="3" t="inlineStr">
        <is>
          <t>Priorité</t>
        </is>
      </c>
      <c r="H4" s="3" t="inlineStr">
        <is>
          <t>Fiche</t>
        </is>
      </c>
    </row>
    <row r="5" s="11">
      <c r="A5" s="4" t="inlineStr">
        <is>
          <t>Automatisme et maquette</t>
        </is>
      </c>
      <c r="B5" s="5" t="n"/>
      <c r="C5" s="5" t="n"/>
      <c r="D5" s="5" t="n"/>
      <c r="E5" s="5" t="n"/>
      <c r="F5" s="5" t="n"/>
      <c r="G5" s="5" t="n"/>
      <c r="H5" s="5" t="n"/>
    </row>
    <row r="6" s="11">
      <c r="A6" s="6" t="inlineStr">
        <is>
          <t>Automate SIMATIC S7-1200 CPU 1212C AC/DC/RLY</t>
        </is>
      </c>
      <c r="B6" s="6" t="inlineStr">
        <is>
          <t>6ES7212-1BE40-0XB0</t>
        </is>
      </c>
      <c r="C6" s="6" t="inlineStr">
        <is>
          <t>Siemens</t>
        </is>
      </c>
      <c r="D6" s="6" t="n">
        <v>1</v>
      </c>
      <c r="E6" s="7" t="n">
        <v>450</v>
      </c>
      <c r="F6" s="7">
        <f>D6*E6</f>
        <v/>
      </c>
      <c r="G6" s="6" t="inlineStr">
        <is>
          <t>Si pas dispo à l'IUT</t>
        </is>
      </c>
      <c r="H6" s="8" t="inlineStr">
        <is>
          <t>lien</t>
        </is>
      </c>
    </row>
    <row r="7" s="11">
      <c r="A7" s="6" t="inlineStr">
        <is>
          <t>Automate Modicon M221, 16 E/S relais, Ethernet</t>
        </is>
      </c>
      <c r="B7" s="6" t="inlineStr">
        <is>
          <t>TM221CE16R</t>
        </is>
      </c>
      <c r="C7" s="6" t="inlineStr">
        <is>
          <t>Schneider Electric</t>
        </is>
      </c>
      <c r="D7" s="6" t="n">
        <v>0</v>
      </c>
      <c r="E7" s="7" t="n">
        <v>350</v>
      </c>
      <c r="F7" s="7">
        <f>D7*E7</f>
        <v/>
      </c>
      <c r="G7" s="6" t="inlineStr">
        <is>
          <t>Alternative</t>
        </is>
      </c>
      <c r="H7" s="8" t="inlineStr">
        <is>
          <t>lien</t>
        </is>
      </c>
    </row>
    <row r="8" s="11">
      <c r="A8" s="6" t="inlineStr">
        <is>
          <t>Alimentation rail DIN 24 V, 1,5 A</t>
        </is>
      </c>
      <c r="B8" s="6" t="inlineStr">
        <is>
          <t>HDR-30-24</t>
        </is>
      </c>
      <c r="C8" s="6" t="inlineStr">
        <is>
          <t>Mean Well</t>
        </is>
      </c>
      <c r="D8" s="6" t="n">
        <v>1</v>
      </c>
      <c r="E8" s="7" t="n">
        <v>20</v>
      </c>
      <c r="F8" s="7">
        <f>D8*E8</f>
        <v/>
      </c>
      <c r="G8" s="6" t="inlineStr">
        <is>
          <t>À commander</t>
        </is>
      </c>
      <c r="H8" s="8" t="inlineStr">
        <is>
          <t>lien</t>
        </is>
      </c>
    </row>
    <row r="9" ht="25.5" customHeight="1" s="11">
      <c r="A9" s="6" t="inlineStr">
        <is>
          <t>Kit CO₂ d'aquarium : bouteille jetable, détendeur, électrovanne (24 V de préférence)</t>
        </is>
      </c>
      <c r="B9" s="6" t="inlineStr">
        <is>
          <t>Au choix (ex. FZONE)</t>
        </is>
      </c>
      <c r="C9" s="6" t="inlineStr">
        <is>
          <t>-</t>
        </is>
      </c>
      <c r="D9" s="6" t="n">
        <v>1</v>
      </c>
      <c r="E9" s="7" t="n">
        <v>90</v>
      </c>
      <c r="F9" s="7">
        <f>D9*E9</f>
        <v/>
      </c>
      <c r="G9" s="6" t="inlineStr">
        <is>
          <t>À commander</t>
        </is>
      </c>
      <c r="H9" s="6" t="n"/>
    </row>
    <row r="10" s="11">
      <c r="A10" s="6" t="inlineStr">
        <is>
          <t>Routeur 4 ports Ethernet + Wi-Fi</t>
        </is>
      </c>
      <c r="B10" s="6" t="inlineStr">
        <is>
          <t>Archer C6 (ou équivalent)</t>
        </is>
      </c>
      <c r="C10" s="6" t="inlineStr">
        <is>
          <t>TP-Link</t>
        </is>
      </c>
      <c r="D10" s="6" t="n">
        <v>1</v>
      </c>
      <c r="E10" s="7" t="n">
        <v>30</v>
      </c>
      <c r="F10" s="7">
        <f>D10*E10</f>
        <v/>
      </c>
      <c r="G10" s="6" t="inlineStr">
        <is>
          <t>À commander</t>
        </is>
      </c>
      <c r="H10" s="6" t="n"/>
    </row>
    <row r="11" s="11">
      <c r="A11" s="6" t="inlineStr">
        <is>
          <t>Câble RJ45 cat. 6, 1 m</t>
        </is>
      </c>
      <c r="B11" s="6" t="inlineStr">
        <is>
          <t>-</t>
        </is>
      </c>
      <c r="C11" s="6" t="inlineStr">
        <is>
          <t>-</t>
        </is>
      </c>
      <c r="D11" s="6" t="n">
        <v>3</v>
      </c>
      <c r="E11" s="7" t="n">
        <v>3</v>
      </c>
      <c r="F11" s="7">
        <f>D11*E11</f>
        <v/>
      </c>
      <c r="G11" s="6" t="inlineStr">
        <is>
          <t>À commander</t>
        </is>
      </c>
      <c r="H11" s="6" t="n"/>
    </row>
    <row r="12" ht="25.5" customHeight="1" s="11">
      <c r="A12" s="6" t="inlineStr">
        <is>
          <t>Boîte transparente étanche ~60 L (maquette de salle) avec trappe « fenêtre »</t>
        </is>
      </c>
      <c r="B12" s="6" t="inlineStr">
        <is>
          <t>-</t>
        </is>
      </c>
      <c r="C12" s="6" t="inlineStr">
        <is>
          <t>-</t>
        </is>
      </c>
      <c r="D12" s="6" t="n">
        <v>1</v>
      </c>
      <c r="E12" s="7" t="n">
        <v>15</v>
      </c>
      <c r="F12" s="7">
        <f>D12*E12</f>
        <v/>
      </c>
      <c r="G12" s="6" t="inlineStr">
        <is>
          <t>Stock IUT</t>
        </is>
      </c>
      <c r="H12" s="6" t="n"/>
    </row>
    <row r="13" s="11">
      <c r="A13" s="6" t="inlineStr">
        <is>
          <t>Micro-interrupteur fin de course (trappe « fenêtre »)</t>
        </is>
      </c>
      <c r="B13" s="6" t="inlineStr">
        <is>
          <t>-</t>
        </is>
      </c>
      <c r="C13" s="6" t="inlineStr">
        <is>
          <t>-</t>
        </is>
      </c>
      <c r="D13" s="6" t="n">
        <v>1</v>
      </c>
      <c r="E13" s="7" t="n">
        <v>3</v>
      </c>
      <c r="F13" s="7">
        <f>D13*E13</f>
        <v/>
      </c>
      <c r="G13" s="6" t="inlineStr">
        <is>
          <t>Stock IUT</t>
        </is>
      </c>
      <c r="H13" s="6" t="n"/>
    </row>
    <row r="14" s="11">
      <c r="A14" s="6" t="inlineStr">
        <is>
          <t>Ventilateur 24 V DC, 80 mm</t>
        </is>
      </c>
      <c r="B14" s="6" t="inlineStr">
        <is>
          <t>-</t>
        </is>
      </c>
      <c r="C14" s="6" t="inlineStr">
        <is>
          <t>-</t>
        </is>
      </c>
      <c r="D14" s="6" t="n">
        <v>1</v>
      </c>
      <c r="E14" s="7" t="n">
        <v>10</v>
      </c>
      <c r="F14" s="7">
        <f>D14*E14</f>
        <v/>
      </c>
      <c r="G14" s="6" t="inlineStr">
        <is>
          <t>Stock IUT</t>
        </is>
      </c>
      <c r="H14" s="6" t="n"/>
    </row>
    <row r="15" s="11">
      <c r="A15" s="6" t="inlineStr">
        <is>
          <t>Voyant LED 22 mm, 24 V (rouge : défaut)</t>
        </is>
      </c>
      <c r="B15" s="6" t="inlineStr">
        <is>
          <t>-</t>
        </is>
      </c>
      <c r="C15" s="6" t="inlineStr">
        <is>
          <t>-</t>
        </is>
      </c>
      <c r="D15" s="6" t="n">
        <v>1</v>
      </c>
      <c r="E15" s="7" t="n">
        <v>5</v>
      </c>
      <c r="F15" s="7">
        <f>D15*E15</f>
        <v/>
      </c>
      <c r="G15" s="6" t="inlineStr">
        <is>
          <t>Stock IUT</t>
        </is>
      </c>
      <c r="H15" s="6" t="n"/>
    </row>
    <row r="16" s="11">
      <c r="A16" s="6" t="inlineStr">
        <is>
          <t>Commutateur 2 positions Manu/Auto, 22 mm</t>
        </is>
      </c>
      <c r="B16" s="6" t="inlineStr">
        <is>
          <t>-</t>
        </is>
      </c>
      <c r="C16" s="6" t="inlineStr">
        <is>
          <t>-</t>
        </is>
      </c>
      <c r="D16" s="6" t="n">
        <v>1</v>
      </c>
      <c r="E16" s="7" t="n">
        <v>10</v>
      </c>
      <c r="F16" s="7">
        <f>D16*E16</f>
        <v/>
      </c>
      <c r="G16" s="6" t="inlineStr">
        <is>
          <t>Stock IUT</t>
        </is>
      </c>
      <c r="H16" s="6" t="n"/>
    </row>
    <row r="17" s="11">
      <c r="A17" s="6" t="inlineStr">
        <is>
          <t>Bouton d'arrêt d'urgence, 22 mm</t>
        </is>
      </c>
      <c r="B17" s="6" t="inlineStr">
        <is>
          <t>-</t>
        </is>
      </c>
      <c r="C17" s="6" t="inlineStr">
        <is>
          <t>-</t>
        </is>
      </c>
      <c r="D17" s="6" t="n">
        <v>1</v>
      </c>
      <c r="E17" s="7" t="n">
        <v>15</v>
      </c>
      <c r="F17" s="7">
        <f>D17*E17</f>
        <v/>
      </c>
      <c r="G17" s="6" t="inlineStr">
        <is>
          <t>Stock IUT</t>
        </is>
      </c>
      <c r="H17" s="6" t="n"/>
    </row>
    <row r="18" s="11">
      <c r="A18" s="6" t="inlineStr">
        <is>
          <t>Rail DIN 35 mm + borniers</t>
        </is>
      </c>
      <c r="B18" s="6" t="inlineStr">
        <is>
          <t>-</t>
        </is>
      </c>
      <c r="C18" s="6" t="inlineStr">
        <is>
          <t>-</t>
        </is>
      </c>
      <c r="D18" s="6" t="n">
        <v>1</v>
      </c>
      <c r="E18" s="7" t="n">
        <v>15</v>
      </c>
      <c r="F18" s="7">
        <f>D18*E18</f>
        <v/>
      </c>
      <c r="G18" s="6" t="inlineStr">
        <is>
          <t>Stock IUT</t>
        </is>
      </c>
      <c r="H18" s="6" t="n"/>
    </row>
    <row r="19" s="11">
      <c r="A19" s="6" t="inlineStr">
        <is>
          <t>Ruban LED 24 V, 30 cm (éclairage de la maquette, sortie Q0.5)</t>
        </is>
      </c>
      <c r="B19" s="6" t="inlineStr">
        <is>
          <t>-</t>
        </is>
      </c>
      <c r="C19" s="6" t="inlineStr">
        <is>
          <t>-</t>
        </is>
      </c>
      <c r="D19" s="6" t="n">
        <v>1</v>
      </c>
      <c r="E19" s="7" t="n">
        <v>6</v>
      </c>
      <c r="F19" s="7">
        <f>D19*E19</f>
        <v/>
      </c>
      <c r="G19" s="6" t="inlineStr">
        <is>
          <t>À commander</t>
        </is>
      </c>
      <c r="H19" s="6" t="n"/>
    </row>
    <row r="20" s="11">
      <c r="A20" s="6" t="inlineStr">
        <is>
          <t>Résistance chauffante 24 V, 10 W (chauffage de la maquette, sortie Q0.3)</t>
        </is>
      </c>
      <c r="B20" s="6" t="inlineStr">
        <is>
          <t>-</t>
        </is>
      </c>
      <c r="C20" s="6" t="inlineStr">
        <is>
          <t>-</t>
        </is>
      </c>
      <c r="D20" s="6" t="n">
        <v>1</v>
      </c>
      <c r="E20" s="7" t="n">
        <v>8</v>
      </c>
      <c r="F20" s="7">
        <f>D20*E20</f>
        <v/>
      </c>
      <c r="G20" s="6" t="inlineStr">
        <is>
          <t>À commander</t>
        </is>
      </c>
      <c r="H20" s="6" t="n"/>
    </row>
    <row r="21" s="11">
      <c r="A21" s="4" t="inlineStr">
        <is>
          <t>Capteurs</t>
        </is>
      </c>
      <c r="B21" s="5" t="n"/>
      <c r="C21" s="5" t="n"/>
      <c r="D21" s="5" t="n"/>
      <c r="E21" s="5" t="n"/>
      <c r="F21" s="5" t="n"/>
      <c r="G21" s="5" t="n"/>
      <c r="H21" s="5" t="n"/>
    </row>
    <row r="22" s="11">
      <c r="A22" s="6" t="inlineStr">
        <is>
          <t>Carte XIAO ESP32S3 (salle et porte)</t>
        </is>
      </c>
      <c r="B22" s="6" t="inlineStr">
        <is>
          <t>113991114</t>
        </is>
      </c>
      <c r="C22" s="6" t="inlineStr">
        <is>
          <t>Seeed Studio</t>
        </is>
      </c>
      <c r="D22" s="6" t="n">
        <v>2</v>
      </c>
      <c r="E22" s="7" t="n">
        <v>9</v>
      </c>
      <c r="F22" s="7">
        <f>D22*E22</f>
        <v/>
      </c>
      <c r="G22" s="6" t="inlineStr">
        <is>
          <t>À commander</t>
        </is>
      </c>
      <c r="H22" s="8" t="inlineStr">
        <is>
          <t>lien</t>
        </is>
      </c>
    </row>
    <row r="23" s="11">
      <c r="A23" s="6" t="inlineStr">
        <is>
          <t>Capteur CO₂ / température / humidité SCD-41</t>
        </is>
      </c>
      <c r="B23" s="6" t="inlineStr">
        <is>
          <t>5190</t>
        </is>
      </c>
      <c r="C23" s="6" t="inlineStr">
        <is>
          <t>Adafruit</t>
        </is>
      </c>
      <c r="D23" s="6" t="n">
        <v>1</v>
      </c>
      <c r="E23" s="7" t="n">
        <v>60</v>
      </c>
      <c r="F23" s="7">
        <f>D23*E23</f>
        <v/>
      </c>
      <c r="G23" s="6" t="inlineStr">
        <is>
          <t>À commander</t>
        </is>
      </c>
      <c r="H23" s="8" t="inlineStr">
        <is>
          <t>lien</t>
        </is>
      </c>
    </row>
    <row r="24" s="11">
      <c r="A24" s="6" t="inlineStr">
        <is>
          <t>Caméra thermique MLX90640 32×24, 110°</t>
        </is>
      </c>
      <c r="B24" s="6" t="inlineStr">
        <is>
          <t>4469</t>
        </is>
      </c>
      <c r="C24" s="6" t="inlineStr">
        <is>
          <t>Adafruit</t>
        </is>
      </c>
      <c r="D24" s="6" t="n">
        <v>1</v>
      </c>
      <c r="E24" s="7" t="n">
        <v>85</v>
      </c>
      <c r="F24" s="7">
        <f>D24*E24</f>
        <v/>
      </c>
      <c r="G24" s="6" t="inlineStr">
        <is>
          <t>À commander</t>
        </is>
      </c>
      <c r="H24" s="8" t="inlineStr">
        <is>
          <t>lien</t>
        </is>
      </c>
    </row>
    <row r="25" ht="25.5" customHeight="1" s="11">
      <c r="A25" s="6" t="inlineStr">
        <is>
          <t>Capteur temps de vol multizone VL53L5CX (Qwiic ToF Imager)</t>
        </is>
      </c>
      <c r="B25" s="6" t="inlineStr">
        <is>
          <t>SEN-18642</t>
        </is>
      </c>
      <c r="C25" s="6" t="inlineStr">
        <is>
          <t>SparkFun</t>
        </is>
      </c>
      <c r="D25" s="6" t="n">
        <v>1</v>
      </c>
      <c r="E25" s="7" t="n">
        <v>35</v>
      </c>
      <c r="F25" s="7">
        <f>D25*E25</f>
        <v/>
      </c>
      <c r="G25" s="6" t="inlineStr">
        <is>
          <t>À commander</t>
        </is>
      </c>
      <c r="H25" s="8" t="inlineStr">
        <is>
          <t>lien</t>
        </is>
      </c>
    </row>
    <row r="26" s="11">
      <c r="A26" s="6" t="inlineStr">
        <is>
          <t>Radar 24 GHz de suivi de personnes</t>
        </is>
      </c>
      <c r="B26" s="6" t="inlineStr">
        <is>
          <t>HLK-LD2450</t>
        </is>
      </c>
      <c r="C26" s="6" t="inlineStr">
        <is>
          <t>Hi-Link</t>
        </is>
      </c>
      <c r="D26" s="6" t="n">
        <v>1</v>
      </c>
      <c r="E26" s="7" t="n">
        <v>10</v>
      </c>
      <c r="F26" s="7">
        <f>D26*E26</f>
        <v/>
      </c>
      <c r="G26" s="6" t="inlineStr">
        <is>
          <t>À commander</t>
        </is>
      </c>
      <c r="H26" s="8" t="inlineStr">
        <is>
          <t>lien</t>
        </is>
      </c>
    </row>
    <row r="27" s="11">
      <c r="A27" s="6" t="inlineStr">
        <is>
          <t>Câble STEMMA QT / Qwiic 4 broches</t>
        </is>
      </c>
      <c r="B27" s="6" t="inlineStr">
        <is>
          <t>-</t>
        </is>
      </c>
      <c r="C27" s="6" t="inlineStr">
        <is>
          <t>Adafruit</t>
        </is>
      </c>
      <c r="D27" s="6" t="n">
        <v>4</v>
      </c>
      <c r="E27" s="7" t="n">
        <v>1.5</v>
      </c>
      <c r="F27" s="7">
        <f>D27*E27</f>
        <v/>
      </c>
      <c r="G27" s="6" t="inlineStr">
        <is>
          <t>À commander</t>
        </is>
      </c>
      <c r="H27" s="6" t="n"/>
    </row>
    <row r="28" s="11">
      <c r="A28" s="6" t="inlineStr">
        <is>
          <t>Module AHT20 + BMP280</t>
        </is>
      </c>
      <c r="B28" s="6" t="inlineStr">
        <is>
          <t>-</t>
        </is>
      </c>
      <c r="C28" s="6" t="inlineStr">
        <is>
          <t>-</t>
        </is>
      </c>
      <c r="D28" s="6" t="n">
        <v>1</v>
      </c>
      <c r="E28" s="7" t="n">
        <v>0</v>
      </c>
      <c r="F28" s="7">
        <f>D28*E28</f>
        <v/>
      </c>
      <c r="G28" s="6" t="inlineStr">
        <is>
          <t>Déjà dispo</t>
        </is>
      </c>
      <c r="H28" s="6" t="n"/>
    </row>
    <row r="29" s="11">
      <c r="A29" s="6" t="inlineStr">
        <is>
          <t>Plaque d'essai + fils Dupont</t>
        </is>
      </c>
      <c r="B29" s="6" t="inlineStr">
        <is>
          <t>-</t>
        </is>
      </c>
      <c r="C29" s="6" t="inlineStr">
        <is>
          <t>-</t>
        </is>
      </c>
      <c r="D29" s="6" t="n">
        <v>1</v>
      </c>
      <c r="E29" s="7" t="n">
        <v>10</v>
      </c>
      <c r="F29" s="7">
        <f>D29*E29</f>
        <v/>
      </c>
      <c r="G29" s="6" t="inlineStr">
        <is>
          <t>Stock IUT</t>
        </is>
      </c>
      <c r="H29" s="6" t="n"/>
    </row>
    <row r="30" s="11">
      <c r="A30" s="6" t="inlineStr">
        <is>
          <t>Lecteur NFC PN532 V3 (badges)</t>
        </is>
      </c>
      <c r="B30" s="6" t="inlineStr">
        <is>
          <t>PN532 NFC RFID Module V3</t>
        </is>
      </c>
      <c r="C30" s="6" t="inlineStr">
        <is>
          <t>Elechouse</t>
        </is>
      </c>
      <c r="D30" s="6" t="n">
        <v>1</v>
      </c>
      <c r="E30" s="7" t="n">
        <v>12</v>
      </c>
      <c r="F30" s="7">
        <f>D30*E30</f>
        <v/>
      </c>
      <c r="G30" s="6" t="inlineStr">
        <is>
          <t>À commander</t>
        </is>
      </c>
      <c r="H30" s="6" t="n"/>
    </row>
    <row r="31" s="11">
      <c r="A31" s="6" t="inlineStr">
        <is>
          <t>Écran e-Paper 2,9 pouces, noir et blanc</t>
        </is>
      </c>
      <c r="B31" s="6" t="inlineStr">
        <is>
          <t>2.9inch e-Paper Module</t>
        </is>
      </c>
      <c r="C31" s="6" t="inlineStr">
        <is>
          <t>Waveshare</t>
        </is>
      </c>
      <c r="D31" s="6" t="n">
        <v>1</v>
      </c>
      <c r="E31" s="7" t="n">
        <v>22</v>
      </c>
      <c r="F31" s="7">
        <f>D31*E31</f>
        <v/>
      </c>
      <c r="G31" s="6" t="inlineStr">
        <is>
          <t>À commander</t>
        </is>
      </c>
      <c r="H31" s="6" t="n"/>
    </row>
    <row r="32" s="11">
      <c r="A32" s="6" t="inlineStr">
        <is>
          <t>Carte XIAO ESP32S3 (essai de détection par Wi-Fi)</t>
        </is>
      </c>
      <c r="B32" s="6" t="inlineStr">
        <is>
          <t>113991114</t>
        </is>
      </c>
      <c r="C32" s="6" t="inlineStr">
        <is>
          <t>Seeed Studio</t>
        </is>
      </c>
      <c r="D32" s="6" t="n">
        <v>2</v>
      </c>
      <c r="E32" s="7" t="n">
        <v>9</v>
      </c>
      <c r="F32" s="7">
        <f>D32*E32</f>
        <v/>
      </c>
      <c r="G32" s="6" t="inlineStr">
        <is>
          <t>Option</t>
        </is>
      </c>
      <c r="H32" s="8" t="inlineStr">
        <is>
          <t>lien</t>
        </is>
      </c>
    </row>
    <row r="33" s="11">
      <c r="A33" s="6" t="inlineStr">
        <is>
          <t>2e capteur CO₂ SCD-41 (air extérieur, vérification du 1er)</t>
        </is>
      </c>
      <c r="B33" s="6" t="inlineStr">
        <is>
          <t>5190</t>
        </is>
      </c>
      <c r="C33" s="6" t="inlineStr">
        <is>
          <t>Adafruit</t>
        </is>
      </c>
      <c r="D33" s="6" t="n">
        <v>1</v>
      </c>
      <c r="E33" s="7" t="n">
        <v>60</v>
      </c>
      <c r="F33" s="7">
        <f>D33*E33</f>
        <v/>
      </c>
      <c r="G33" s="6" t="inlineStr">
        <is>
          <t>Option</t>
        </is>
      </c>
      <c r="H33" s="8" t="inlineStr">
        <is>
          <t>lien</t>
        </is>
      </c>
    </row>
    <row r="34" s="11">
      <c r="A34" s="4" t="inlineStr">
        <is>
          <t>Lecteurs de badge seuls (essai réel dans 2 autres salles)</t>
        </is>
      </c>
      <c r="B34" s="5" t="n"/>
      <c r="C34" s="5" t="n"/>
      <c r="D34" s="5" t="n"/>
      <c r="E34" s="5" t="n"/>
      <c r="F34" s="5" t="n"/>
      <c r="G34" s="5" t="n"/>
      <c r="H34" s="5" t="n"/>
    </row>
    <row r="35" s="11">
      <c r="A35" s="6" t="inlineStr">
        <is>
          <t>Carte XIAO ESP32S3 (lecteur de badge)</t>
        </is>
      </c>
      <c r="B35" s="6" t="inlineStr">
        <is>
          <t>113991114</t>
        </is>
      </c>
      <c r="C35" s="6" t="inlineStr">
        <is>
          <t>Seeed Studio</t>
        </is>
      </c>
      <c r="D35" s="6" t="n">
        <v>2</v>
      </c>
      <c r="E35" s="7" t="n">
        <v>9</v>
      </c>
      <c r="F35" s="7">
        <f>D35*E35</f>
        <v/>
      </c>
      <c r="G35" s="6" t="inlineStr">
        <is>
          <t>À commander</t>
        </is>
      </c>
      <c r="H35" s="6" t="inlineStr">
        <is>
          <t>lien</t>
        </is>
      </c>
    </row>
    <row r="36" s="11">
      <c r="A36" s="6" t="inlineStr">
        <is>
          <t>Lecteur NFC PN532 V3</t>
        </is>
      </c>
      <c r="B36" s="6" t="inlineStr">
        <is>
          <t>PN532 NFC RFID Module V3</t>
        </is>
      </c>
      <c r="C36" s="6" t="inlineStr">
        <is>
          <t>Elechouse</t>
        </is>
      </c>
      <c r="D36" s="6" t="n">
        <v>2</v>
      </c>
      <c r="E36" s="7" t="n">
        <v>12</v>
      </c>
      <c r="F36" s="7">
        <f>D36*E36</f>
        <v/>
      </c>
      <c r="G36" s="6" t="inlineStr">
        <is>
          <t>À commander</t>
        </is>
      </c>
      <c r="H36" s="6" t="n"/>
    </row>
    <row r="37" s="11">
      <c r="A37" s="6" t="inlineStr">
        <is>
          <t>LED 5 mm verte et rouge + résistances 220 Ω</t>
        </is>
      </c>
      <c r="B37" s="6" t="inlineStr">
        <is>
          <t>-</t>
        </is>
      </c>
      <c r="C37" s="6" t="inlineStr">
        <is>
          <t>-</t>
        </is>
      </c>
      <c r="D37" s="6" t="n">
        <v>2</v>
      </c>
      <c r="E37" s="7" t="n">
        <v>1</v>
      </c>
      <c r="F37" s="7">
        <f>D37*E37</f>
        <v/>
      </c>
      <c r="G37" s="6" t="inlineStr">
        <is>
          <t>Stock IUT</t>
        </is>
      </c>
      <c r="H37" s="6" t="n"/>
    </row>
    <row r="38" s="11">
      <c r="A38" s="6" t="inlineStr">
        <is>
          <t>Buzzer actif 3,3 V</t>
        </is>
      </c>
      <c r="B38" s="6" t="inlineStr">
        <is>
          <t>-</t>
        </is>
      </c>
      <c r="C38" s="6" t="inlineStr">
        <is>
          <t>-</t>
        </is>
      </c>
      <c r="D38" s="6" t="n">
        <v>2</v>
      </c>
      <c r="E38" s="7" t="n">
        <v>1.5</v>
      </c>
      <c r="F38" s="7">
        <f>D38*E38</f>
        <v/>
      </c>
      <c r="G38" s="6" t="inlineStr">
        <is>
          <t>Stock IUT</t>
        </is>
      </c>
      <c r="H38" s="6" t="n"/>
    </row>
    <row r="39" s="11">
      <c r="A39" s="6" t="inlineStr">
        <is>
          <t>Boîtier plastique pour le lecteur</t>
        </is>
      </c>
      <c r="B39" s="6" t="inlineStr">
        <is>
          <t>-</t>
        </is>
      </c>
      <c r="C39" s="6" t="inlineStr">
        <is>
          <t>-</t>
        </is>
      </c>
      <c r="D39" s="6" t="n">
        <v>2</v>
      </c>
      <c r="E39" s="7" t="n">
        <v>5</v>
      </c>
      <c r="F39" s="7">
        <f>D39*E39</f>
        <v/>
      </c>
      <c r="G39" s="6" t="inlineStr">
        <is>
          <t>Stock IUT</t>
        </is>
      </c>
      <c r="H39" s="6" t="n"/>
    </row>
    <row r="40" s="11">
      <c r="A40" s="6" t="inlineStr">
        <is>
          <t>Alimentation USB-C 5 V, 1 A</t>
        </is>
      </c>
      <c r="B40" s="6" t="inlineStr">
        <is>
          <t>-</t>
        </is>
      </c>
      <c r="C40" s="6" t="inlineStr">
        <is>
          <t>-</t>
        </is>
      </c>
      <c r="D40" s="6" t="n">
        <v>2</v>
      </c>
      <c r="E40" s="7" t="n">
        <v>8</v>
      </c>
      <c r="F40" s="7">
        <f>D40*E40</f>
        <v/>
      </c>
      <c r="G40" s="6" t="inlineStr">
        <is>
          <t>À commander</t>
        </is>
      </c>
      <c r="H40" s="6" t="n"/>
    </row>
    <row r="41" s="11">
      <c r="A41" s="4" t="inlineStr">
        <is>
          <t>Serveur (une seule machine)</t>
        </is>
      </c>
      <c r="B41" s="5" t="n"/>
      <c r="C41" s="5" t="n"/>
      <c r="D41" s="5" t="n"/>
      <c r="E41" s="5" t="n"/>
      <c r="F41" s="5" t="n"/>
      <c r="G41" s="5" t="n"/>
      <c r="H41" s="5" t="n"/>
    </row>
    <row r="42" ht="25.5" customHeight="1" s="11">
      <c r="A42" s="6" t="inlineStr">
        <is>
          <t>Raspberry Pi 5, 4 Go : seulement si l'IUT n'a pas de Raspberry Pi 3B+/4 ou de vieux PC à nous prêter</t>
        </is>
      </c>
      <c r="B42" s="6" t="inlineStr">
        <is>
          <t>SC1111</t>
        </is>
      </c>
      <c r="C42" s="6" t="inlineStr">
        <is>
          <t>Raspberry Pi</t>
        </is>
      </c>
      <c r="D42" s="6" t="n">
        <v>1</v>
      </c>
      <c r="E42" s="7" t="n">
        <v>95</v>
      </c>
      <c r="F42" s="7">
        <f>D42*E42</f>
        <v/>
      </c>
      <c r="G42" s="6" t="inlineStr">
        <is>
          <t>Si pas dispo à l'IUT</t>
        </is>
      </c>
      <c r="H42" s="6" t="n"/>
    </row>
    <row r="43" ht="25.5" customHeight="1" s="11">
      <c r="A43" s="6" t="inlineStr">
        <is>
          <t>Accessoires du Raspberry Pi 5 : alimentation 27 W USB-C, carte microSD 64 Go, ventilateur</t>
        </is>
      </c>
      <c r="B43" s="6" t="inlineStr">
        <is>
          <t>-</t>
        </is>
      </c>
      <c r="C43" s="6" t="inlineStr">
        <is>
          <t>Raspberry Pi</t>
        </is>
      </c>
      <c r="D43" s="6" t="n">
        <v>1</v>
      </c>
      <c r="E43" s="7" t="n">
        <v>33</v>
      </c>
      <c r="F43" s="7">
        <f>D43*E43</f>
        <v/>
      </c>
      <c r="G43" s="6" t="inlineStr">
        <is>
          <t>Si pas dispo à l'IUT</t>
        </is>
      </c>
      <c r="H43" s="6" t="n"/>
    </row>
    <row r="44" s="11"/>
    <row r="45" s="11">
      <c r="D45" s="10" t="inlineStr">
        <is>
          <t>À commander</t>
        </is>
      </c>
      <c r="F45" s="9">
        <f>SUMIF(G6:G43,"À commander",F6:F43)</f>
        <v/>
      </c>
    </row>
    <row r="46" s="11">
      <c r="D46" s="10" t="inlineStr">
        <is>
          <t>Stock IUT (si à acheter)</t>
        </is>
      </c>
      <c r="F46" s="9">
        <f>SUMIF(G6:G43,"Stock IUT",F6:F43)</f>
        <v/>
      </c>
    </row>
    <row r="47" s="11">
      <c r="D47" s="10" t="inlineStr">
        <is>
          <t>Si pas dispo à l'IUT</t>
        </is>
      </c>
      <c r="F47" s="9">
        <f>SUMIF(G6:G43,"Si pas dispo à l'IUT",F6:F43)</f>
        <v/>
      </c>
    </row>
    <row r="48" s="11">
      <c r="D48" s="10" t="inlineStr">
        <is>
          <t>Option</t>
        </is>
      </c>
      <c r="F48" s="9">
        <f>SUMIF(G6:G43,"Option",F6:F43)</f>
        <v/>
      </c>
    </row>
    <row r="49" s="11"/>
    <row r="50" s="11"/>
    <row r="51" s="11"/>
    <row r="52" s="11"/>
    <row r="53" s="11"/>
    <row r="54" s="11"/>
    <row r="55" s="11"/>
    <row r="56" s="11"/>
    <row r="57" s="11"/>
    <row r="58" s="11"/>
    <row r="59" s="11"/>
  </sheetData>
  <mergeCells count="4">
    <mergeCell ref="D48:E48"/>
    <mergeCell ref="D47:E47"/>
    <mergeCell ref="D46:E46"/>
    <mergeCell ref="D45:E45"/>
  </mergeCells>
  <dataValidations count="1">
    <dataValidation sqref="G6:G43" showDropDown="0" showInputMessage="0" showErrorMessage="0" allowBlank="1" type="list">
      <formula1>"À commander,Stock IUT,Si pas dispo à l'IUT,Option,Alternative,Déjà dispo"</formula1>
    </dataValidation>
  </dataValidations>
  <hyperlinks>
    <hyperlink xmlns:r="http://schemas.openxmlformats.org/officeDocument/2006/relationships" ref="H6" r:id="rId1"/>
    <hyperlink xmlns:r="http://schemas.openxmlformats.org/officeDocument/2006/relationships" ref="H7" r:id="rId2"/>
    <hyperlink xmlns:r="http://schemas.openxmlformats.org/officeDocument/2006/relationships" ref="H8" r:id="rId3"/>
    <hyperlink xmlns:r="http://schemas.openxmlformats.org/officeDocument/2006/relationships" ref="H22" r:id="rId4"/>
    <hyperlink xmlns:r="http://schemas.openxmlformats.org/officeDocument/2006/relationships" ref="H23" r:id="rId5"/>
    <hyperlink xmlns:r="http://schemas.openxmlformats.org/officeDocument/2006/relationships" ref="H24" r:id="rId6"/>
    <hyperlink xmlns:r="http://schemas.openxmlformats.org/officeDocument/2006/relationships" ref="H25" r:id="rId7"/>
    <hyperlink xmlns:r="http://schemas.openxmlformats.org/officeDocument/2006/relationships" ref="H26" r:id="rId8"/>
    <hyperlink xmlns:r="http://schemas.openxmlformats.org/officeDocument/2006/relationships" ref="H32" r:id="rId9"/>
    <hyperlink xmlns:r="http://schemas.openxmlformats.org/officeDocument/2006/relationships" ref="H33" r:id="rId10"/>
    <hyperlink xmlns:r="http://schemas.openxmlformats.org/officeDocument/2006/relationships" ref="H35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2026-10-16T06:43:13Z</dcterms:created>
  <dcterms:modified xmlns:dcterms="http://purl.org/dc/terms/" xmlns:xsi="http://www.w3.org/2001/XMLSchema-instance" xsi:type="dcterms:W3CDTF">2026-10-27T12:40:25Z</dcterms:modified>
  <cp:lastModifiedBy>Louay Boubaya</cp:lastModifiedBy>
</cp:coreProperties>
</file>